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DemandSync 2026" sheetId="1" r:id="rId4"/>
    <sheet state="visible" name="Hitos Clave 2026" sheetId="2" r:id="rId5"/>
  </sheets>
  <definedNames/>
  <calcPr/>
  <extLst>
    <ext uri="GoogleSheetsCustomDataVersion2">
      <go:sheetsCustomData xmlns:go="http://customooxmlschemas.google.com/" r:id="rId6" roundtripDataChecksum="DxnpVTI0URrNBSiZkFwFq+aSITTQ6C8w+79GGXP+fvc="/>
    </ext>
  </extLst>
</workbook>
</file>

<file path=xl/sharedStrings.xml><?xml version="1.0" encoding="utf-8"?>
<sst xmlns="http://schemas.openxmlformats.org/spreadsheetml/2006/main" count="397" uniqueCount="225">
  <si>
    <t>Índice</t>
  </si>
  <si>
    <t>Nombre de tarea</t>
  </si>
  <si>
    <t>Comienzo</t>
  </si>
  <si>
    <t>Fin</t>
  </si>
  <si>
    <t>Duración</t>
  </si>
  <si>
    <t>Predecesoras</t>
  </si>
  <si>
    <t>Estudio de factibilidad</t>
  </si>
  <si>
    <t>Acta de Proyecto</t>
  </si>
  <si>
    <t>WBS</t>
  </si>
  <si>
    <t>Business Model Canval</t>
  </si>
  <si>
    <t>Matriz de Interesados</t>
  </si>
  <si>
    <t>Matriz de Roles y Responsabilidades</t>
  </si>
  <si>
    <t>Matriz de Gestión de Riesgos</t>
  </si>
  <si>
    <t>Matriz de Comunicaciones</t>
  </si>
  <si>
    <t>Diagrama de Gantt</t>
  </si>
  <si>
    <t>Habilidades y Competencias</t>
  </si>
  <si>
    <t>3.1</t>
  </si>
  <si>
    <t>Descripción de Casos de Uso</t>
  </si>
  <si>
    <t>26/05/2026</t>
  </si>
  <si>
    <t>09/06/2026</t>
  </si>
  <si>
    <t>2.1.2</t>
  </si>
  <si>
    <t>3.2</t>
  </si>
  <si>
    <t>Diagramas de Casos de Uso</t>
  </si>
  <si>
    <t>23/06/2026</t>
  </si>
  <si>
    <t>4.1</t>
  </si>
  <si>
    <t>Diagrama Entidad-Relación</t>
  </si>
  <si>
    <t>30/06/2026</t>
  </si>
  <si>
    <t>4.2</t>
  </si>
  <si>
    <t>Diagrama de Clases</t>
  </si>
  <si>
    <t>07/07/2026</t>
  </si>
  <si>
    <t>3.2, 4.1</t>
  </si>
  <si>
    <t>4.3</t>
  </si>
  <si>
    <t>Diagrama de Arquitectura</t>
  </si>
  <si>
    <t>4.4</t>
  </si>
  <si>
    <t>Diseño de Interfaces de Usuario</t>
  </si>
  <si>
    <t>4.5</t>
  </si>
  <si>
    <t>Diseño de Casos de Prueba</t>
  </si>
  <si>
    <t>4.1, 4.2, 4.3</t>
  </si>
  <si>
    <t>4.6</t>
  </si>
  <si>
    <t>Plan de Pruebas</t>
  </si>
  <si>
    <t>5.1.1</t>
  </si>
  <si>
    <t>Redacción del Paper para CoNaIISI</t>
  </si>
  <si>
    <t>28/07/2026</t>
  </si>
  <si>
    <t>11/08/2026</t>
  </si>
  <si>
    <t>4.1, 4.2, 4.3, 4.4</t>
  </si>
  <si>
    <t>5.1.2</t>
  </si>
  <si>
    <t>Revisión y entrega preliminar del Paper</t>
  </si>
  <si>
    <t>18/08/2026</t>
  </si>
  <si>
    <t>6.1</t>
  </si>
  <si>
    <t>Elaboración de la Presentación Comercial</t>
  </si>
  <si>
    <t>25/08/2026</t>
  </si>
  <si>
    <t>1.2.2, 4.4</t>
  </si>
  <si>
    <t>6.2</t>
  </si>
  <si>
    <t>Elaboración del Póster</t>
  </si>
  <si>
    <t>7.1</t>
  </si>
  <si>
    <t>Módulo de Ingesta y Preprocesamiento de Datos</t>
  </si>
  <si>
    <t>30/10/2026</t>
  </si>
  <si>
    <t>7.1.1</t>
  </si>
  <si>
    <t>Diseño API - Ingesta de Ventas</t>
  </si>
  <si>
    <t>14/07/2026</t>
  </si>
  <si>
    <t>7.1.2</t>
  </si>
  <si>
    <t>Diseño API - Ingesta de Productos/Vademécum</t>
  </si>
  <si>
    <t>21/07/2026</t>
  </si>
  <si>
    <t>7.1.3</t>
  </si>
  <si>
    <t>Diseño API - Ingesta de Clientes</t>
  </si>
  <si>
    <t>7.1.4</t>
  </si>
  <si>
    <t>Implementación DB - Datos Maestros</t>
  </si>
  <si>
    <t>7.1.5</t>
  </si>
  <si>
    <t>Implementación DB - Stock Histórico</t>
  </si>
  <si>
    <t>7.1.6.1</t>
  </si>
  <si>
    <t>ETL Histórico - Ventas y Productos</t>
  </si>
  <si>
    <t>08/09/2026</t>
  </si>
  <si>
    <t>7.1.6.2</t>
  </si>
  <si>
    <t>ETL Histórico - Clientes y Stock</t>
  </si>
  <si>
    <t>22/09/2026</t>
  </si>
  <si>
    <t>7.1.7</t>
  </si>
  <si>
    <t>Integración API Climática</t>
  </si>
  <si>
    <t>06/10/2026</t>
  </si>
  <si>
    <t>7.1.8</t>
  </si>
  <si>
    <t>Integración API Macroeconómica</t>
  </si>
  <si>
    <t>20/10/2026</t>
  </si>
  <si>
    <t>7.1.9</t>
  </si>
  <si>
    <t>Servicio Normalización y Limpieza de Datos</t>
  </si>
  <si>
    <t>7.1.7, 7.1.8</t>
  </si>
  <si>
    <t>7.2</t>
  </si>
  <si>
    <t>Módulo de Inteligencia y Modelado (Core Predictivo)</t>
  </si>
  <si>
    <t>7.2.1</t>
  </si>
  <si>
    <t>Diseño API - Predicciones de Demanda</t>
  </si>
  <si>
    <t>7.2.2</t>
  </si>
  <si>
    <t>Diseño API - Segmentación de Clientes</t>
  </si>
  <si>
    <t>7.2.3</t>
  </si>
  <si>
    <t>Implementación DB Vectorial (pgvector)</t>
  </si>
  <si>
    <t>04/08/2026</t>
  </si>
  <si>
    <t>7.2.4.1</t>
  </si>
  <si>
    <t>Servicio Clustering - Análisis RFM</t>
  </si>
  <si>
    <t>7.2.4.2</t>
  </si>
  <si>
    <t>Servicio Clustering - K-Means y validación</t>
  </si>
  <si>
    <t>7.2.5.1</t>
  </si>
  <si>
    <t>Series Temporales - Horizonte 1 mes</t>
  </si>
  <si>
    <t>7.2.5.2</t>
  </si>
  <si>
    <t>Series Temporales - Horizonte 6 meses</t>
  </si>
  <si>
    <t>7.2.5.3</t>
  </si>
  <si>
    <t>Series Temporales - Horizonte 12 meses</t>
  </si>
  <si>
    <t>29/09/2026</t>
  </si>
  <si>
    <t>7.2.6</t>
  </si>
  <si>
    <t>Servicio Motor de Venta Cruzada (Recomendación)</t>
  </si>
  <si>
    <t>13/10/2026</t>
  </si>
  <si>
    <t>7.2.7.1</t>
  </si>
  <si>
    <t>Entrenamiento de modelos sobre dataset histórico</t>
  </si>
  <si>
    <t>27/10/2026</t>
  </si>
  <si>
    <t>7.2.5.3, 7.2.6</t>
  </si>
  <si>
    <t>7.2.7.2</t>
  </si>
  <si>
    <t>Evaluación MAPE y ajuste fino de hiperparámetros</t>
  </si>
  <si>
    <t>7.3</t>
  </si>
  <si>
    <t>Módulo de Reglas de Negocio y Abastecimiento</t>
  </si>
  <si>
    <t>7.3.1</t>
  </si>
  <si>
    <t>Diseño API - Cálculo de Necesidad de Stock</t>
  </si>
  <si>
    <t>7.3.2</t>
  </si>
  <si>
    <t>Diseño API - Borradores de Compra</t>
  </si>
  <si>
    <t>7.3.3</t>
  </si>
  <si>
    <t>Diseño API - Alertas de Caducidad</t>
  </si>
  <si>
    <t>7.3.4</t>
  </si>
  <si>
    <t>Implementación DB - Sugerencias y Alertas</t>
  </si>
  <si>
    <t>7.3.5.1</t>
  </si>
  <si>
    <t>Servicio Cálculo Lead Time del proveedor</t>
  </si>
  <si>
    <t>7.3.5.2</t>
  </si>
  <si>
    <t>Servicio Stock de Seguridad y punto de reorden</t>
  </si>
  <si>
    <t>01/09/2026</t>
  </si>
  <si>
    <t>7.3.6.1</t>
  </si>
  <si>
    <t>Motor Rentabilidad - Cálculo de márgenes por producto</t>
  </si>
  <si>
    <t>15/09/2026</t>
  </si>
  <si>
    <t>7.3.6.2</t>
  </si>
  <si>
    <t>Motor Rentabilidad - Remarcación y priorización</t>
  </si>
  <si>
    <t>7.3.7</t>
  </si>
  <si>
    <t>Servicio Ponderación por Caducidad</t>
  </si>
  <si>
    <t>7.3.8.1</t>
  </si>
  <si>
    <t>Generación de Borradores de Compra - Lógica base</t>
  </si>
  <si>
    <t>7.3.8.2</t>
  </si>
  <si>
    <t>Generación de Borradores - Validación e integración</t>
  </si>
  <si>
    <t>7.4</t>
  </si>
  <si>
    <t>Módulo de Interfaz y Explicabilidad</t>
  </si>
  <si>
    <t>4.3, 4.4</t>
  </si>
  <si>
    <t>7.4.1</t>
  </si>
  <si>
    <t>Diseño API - Autenticación y Usuarios</t>
  </si>
  <si>
    <t>7.4.2</t>
  </si>
  <si>
    <t>Servicio Backend - Auth (Login/Registro/JWT)</t>
  </si>
  <si>
    <t>7.4.3</t>
  </si>
  <si>
    <t>Pantalla Login y Registro</t>
  </si>
  <si>
    <t>7.4.2, 4.4</t>
  </si>
  <si>
    <t>7.4.4.1</t>
  </si>
  <si>
    <t>Pantalla Dashboard - Layout y componentes base</t>
  </si>
  <si>
    <t>7.4.4.2</t>
  </si>
  <si>
    <t>Pantalla Dashboard - Widgets de métricas</t>
  </si>
  <si>
    <t>7.4.5</t>
  </si>
  <si>
    <t>Pantalla Predicciones de Demanda</t>
  </si>
  <si>
    <t>7.4.6</t>
  </si>
  <si>
    <t>Pantalla Sugerencias de Compra</t>
  </si>
  <si>
    <t>7.4.7</t>
  </si>
  <si>
    <t>Pantalla Alertas de Stock y Caducidad</t>
  </si>
  <si>
    <t>7.4.8</t>
  </si>
  <si>
    <t>Servicio RAG (Base Vectorial + LLM)</t>
  </si>
  <si>
    <t>7.4.9</t>
  </si>
  <si>
    <t>Pantalla Chat Asistente de Explicabilidad</t>
  </si>
  <si>
    <t>7.5.1</t>
  </si>
  <si>
    <t>Pruebas Productivas - Integración entre módulos</t>
  </si>
  <si>
    <t>19/10/2026</t>
  </si>
  <si>
    <t>02/11/2026</t>
  </si>
  <si>
    <t>7.1.9, 7.2.7.2, 7.3.8.2, 7.4.9</t>
  </si>
  <si>
    <t>7.5.2</t>
  </si>
  <si>
    <t>Pruebas Productivas - E2E y bugfixing</t>
  </si>
  <si>
    <t>06/11/2026</t>
  </si>
  <si>
    <t>7.6</t>
  </si>
  <si>
    <t>Manual de Usuario</t>
  </si>
  <si>
    <t>26/10/2026</t>
  </si>
  <si>
    <t>09/11/2026</t>
  </si>
  <si>
    <t>4.6, 7.5.2</t>
  </si>
  <si>
    <t>8.1</t>
  </si>
  <si>
    <t>Pulido Final del Producto</t>
  </si>
  <si>
    <t>13/11/2026</t>
  </si>
  <si>
    <t>8.2</t>
  </si>
  <si>
    <t>Presentación Preliminar (Hito)</t>
  </si>
  <si>
    <t>10/11/2026</t>
  </si>
  <si>
    <t>8.1, 7.6</t>
  </si>
  <si>
    <t>8.3</t>
  </si>
  <si>
    <t>Lecciones Aprendidas</t>
  </si>
  <si>
    <t>20/11/2026</t>
  </si>
  <si>
    <t>7.5.2, 8.2</t>
  </si>
  <si>
    <t>8.4</t>
  </si>
  <si>
    <t>Preparación Materiales para Presentación Final</t>
  </si>
  <si>
    <t>16/11/2026</t>
  </si>
  <si>
    <t>23/11/2026</t>
  </si>
  <si>
    <t>6.1, 6.2, 8.2</t>
  </si>
  <si>
    <t>8.5</t>
  </si>
  <si>
    <t>Presentación Final (Hito)</t>
  </si>
  <si>
    <t>24/11/2026</t>
  </si>
  <si>
    <t>8.3, 8.4</t>
  </si>
  <si>
    <t>Fecha</t>
  </si>
  <si>
    <t>Hito de la Cátedra</t>
  </si>
  <si>
    <t>Tipo</t>
  </si>
  <si>
    <t>21/04/2026</t>
  </si>
  <si>
    <t>Aceptación de propuesta + Inicio Estudio Factibilidad</t>
  </si>
  <si>
    <t>Inicio</t>
  </si>
  <si>
    <t>Devolución Rúbrica RA (Desafío)</t>
  </si>
  <si>
    <t>Rúbrica</t>
  </si>
  <si>
    <t>12/05/2026</t>
  </si>
  <si>
    <t>Presentación Estudio Factibilidad ante cátedra</t>
  </si>
  <si>
    <t>Entrega</t>
  </si>
  <si>
    <t>Aprobación documentación general + Gantt línea base</t>
  </si>
  <si>
    <t>Aprobación</t>
  </si>
  <si>
    <t>02/06/2026</t>
  </si>
  <si>
    <t>PRIMER TABLERO DE CONTROL</t>
  </si>
  <si>
    <t>Tablero</t>
  </si>
  <si>
    <t>16/06/2026</t>
  </si>
  <si>
    <t>Devolución Rúbrica RB (Gestión I)</t>
  </si>
  <si>
    <t>SEGUNDO TABLERO DE CONTROL</t>
  </si>
  <si>
    <t>Presentación versión preliminar Paper CoNaIISI</t>
  </si>
  <si>
    <t>Entrega Póster + Presentación Comercial (1ra)</t>
  </si>
  <si>
    <t>Entrega Póster + Presentación Comercial (2da)</t>
  </si>
  <si>
    <t>Devolución Rúbrica RC (Presentación Comercial)</t>
  </si>
  <si>
    <t>TERCER TABLERO DE CONTROL</t>
  </si>
  <si>
    <t>Devolución Rúbrica RD (Gestión II)</t>
  </si>
  <si>
    <t>CUARTO TABLERO DE CONTROL</t>
  </si>
  <si>
    <t>Presentación PRELIMINAR del proyecto</t>
  </si>
  <si>
    <t>Hito</t>
  </si>
  <si>
    <t>PRESENTACIÓN FINAL + Rúbrica 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</si>
</sst>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/mm/yyyy"/>
    <numFmt numFmtId="166" formatCode="d/MM/yyyy"/>
  </numFmts>
  <fonts count="6">
    <font>
      <sz val="11.0"/>
      <color theme="1"/>
      <name val="Calibri"/>
      <scheme val="minor"/>
    </font>
    <font>
      <b/>
      <sz val="10.0"/>
      <color rgb="FFFFFFFF"/>
      <name val="Calibri"/>
    </font>
    <font>
      <b/>
      <i/>
      <sz val="10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165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shrinkToFit="0" vertical="center" wrapText="1"/>
    </xf>
    <xf borderId="1" fillId="3" fontId="4" numFmtId="164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4" numFmtId="165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left" shrinkToFit="0" vertical="center" wrapText="1"/>
    </xf>
    <xf borderId="1" fillId="0" fontId="3" numFmtId="166" xfId="0" applyAlignment="1" applyBorder="1" applyFont="1" applyNumberFormat="1">
      <alignment horizontal="center" readingOrder="0" vertical="center"/>
    </xf>
    <xf borderId="0" fillId="3" fontId="5" numFmtId="0" xfId="0" applyFont="1"/>
    <xf borderId="1" fillId="0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left" shrinkToFit="0" vertical="center" wrapText="1"/>
    </xf>
    <xf borderId="1" fillId="7" fontId="4" numFmtId="0" xfId="0" applyAlignment="1" applyBorder="1" applyFill="1" applyFont="1">
      <alignment horizontal="center" vertical="center"/>
    </xf>
    <xf borderId="1" fillId="7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4" width="14.0"/>
    <col customWidth="1" min="5" max="5" width="12.0"/>
    <col customWidth="1" min="6" max="6" width="28.0"/>
    <col customWidth="1" min="7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46023.0</v>
      </c>
      <c r="B2" s="3" t="s">
        <v>6</v>
      </c>
      <c r="C2" s="4">
        <v>46126.0</v>
      </c>
      <c r="D2" s="4">
        <v>46140.0</v>
      </c>
      <c r="E2" s="5">
        <f t="shared" ref="E2:E77" si="1">D2-C2</f>
        <v>14</v>
      </c>
      <c r="F2" s="6"/>
    </row>
    <row r="3">
      <c r="A3" s="7">
        <v>46054.0</v>
      </c>
      <c r="B3" s="8" t="s">
        <v>7</v>
      </c>
      <c r="C3" s="9">
        <v>46134.0</v>
      </c>
      <c r="D3" s="9">
        <v>46147.0</v>
      </c>
      <c r="E3" s="10">
        <f t="shared" si="1"/>
        <v>13</v>
      </c>
      <c r="F3" s="11"/>
    </row>
    <row r="4">
      <c r="A4" s="7">
        <v>46082.0</v>
      </c>
      <c r="B4" s="8" t="s">
        <v>8</v>
      </c>
      <c r="C4" s="9">
        <v>46134.0</v>
      </c>
      <c r="D4" s="9">
        <v>46147.0</v>
      </c>
      <c r="E4" s="10">
        <f t="shared" si="1"/>
        <v>13</v>
      </c>
      <c r="F4" s="11"/>
    </row>
    <row r="5">
      <c r="A5" s="12">
        <v>46024.0</v>
      </c>
      <c r="B5" s="13" t="s">
        <v>9</v>
      </c>
      <c r="C5" s="14">
        <v>46168.0</v>
      </c>
      <c r="D5" s="14">
        <v>46175.0</v>
      </c>
      <c r="E5" s="5">
        <f t="shared" si="1"/>
        <v>7</v>
      </c>
      <c r="F5" s="15"/>
    </row>
    <row r="6">
      <c r="A6" s="7">
        <v>46055.0</v>
      </c>
      <c r="B6" s="8" t="s">
        <v>10</v>
      </c>
      <c r="C6" s="16">
        <v>46163.0</v>
      </c>
      <c r="D6" s="16">
        <v>46168.0</v>
      </c>
      <c r="E6" s="10">
        <f t="shared" si="1"/>
        <v>5</v>
      </c>
      <c r="F6" s="11"/>
    </row>
    <row r="7">
      <c r="A7" s="7">
        <v>46083.0</v>
      </c>
      <c r="B7" s="8" t="s">
        <v>11</v>
      </c>
      <c r="C7" s="16">
        <v>46147.0</v>
      </c>
      <c r="D7" s="16">
        <v>46154.0</v>
      </c>
      <c r="E7" s="10">
        <f t="shared" si="1"/>
        <v>7</v>
      </c>
      <c r="F7" s="11"/>
    </row>
    <row r="8">
      <c r="A8" s="7">
        <v>46114.0</v>
      </c>
      <c r="B8" s="8" t="s">
        <v>12</v>
      </c>
      <c r="C8" s="16">
        <v>46147.0</v>
      </c>
      <c r="D8" s="16">
        <v>46154.0</v>
      </c>
      <c r="E8" s="10">
        <f t="shared" si="1"/>
        <v>7</v>
      </c>
      <c r="F8" s="11"/>
      <c r="H8" s="17"/>
    </row>
    <row r="9">
      <c r="A9" s="7">
        <v>46144.0</v>
      </c>
      <c r="B9" s="8" t="s">
        <v>13</v>
      </c>
      <c r="C9" s="16">
        <v>46154.0</v>
      </c>
      <c r="D9" s="16">
        <v>46168.0</v>
      </c>
      <c r="E9" s="10">
        <f t="shared" si="1"/>
        <v>14</v>
      </c>
      <c r="F9" s="11"/>
    </row>
    <row r="10">
      <c r="A10" s="7">
        <v>46175.0</v>
      </c>
      <c r="B10" s="8" t="s">
        <v>14</v>
      </c>
      <c r="C10" s="16">
        <v>46161.0</v>
      </c>
      <c r="D10" s="16">
        <v>46168.0</v>
      </c>
      <c r="E10" s="10">
        <f t="shared" si="1"/>
        <v>7</v>
      </c>
      <c r="F10" s="11"/>
    </row>
    <row r="11">
      <c r="A11" s="7">
        <v>46205.0</v>
      </c>
      <c r="B11" s="8" t="s">
        <v>15</v>
      </c>
      <c r="C11" s="16">
        <v>46154.0</v>
      </c>
      <c r="D11" s="16">
        <v>46168.0</v>
      </c>
      <c r="E11" s="10">
        <f t="shared" si="1"/>
        <v>14</v>
      </c>
      <c r="F11" s="11"/>
    </row>
    <row r="12" ht="15.75" customHeight="1">
      <c r="A12" s="18" t="s">
        <v>16</v>
      </c>
      <c r="B12" s="11" t="s">
        <v>17</v>
      </c>
      <c r="C12" s="18" t="s">
        <v>18</v>
      </c>
      <c r="D12" s="18" t="s">
        <v>19</v>
      </c>
      <c r="E12" s="10">
        <f t="shared" si="1"/>
        <v>14</v>
      </c>
      <c r="F12" s="11" t="s">
        <v>20</v>
      </c>
    </row>
    <row r="13" ht="15.75" customHeight="1">
      <c r="A13" s="18" t="s">
        <v>21</v>
      </c>
      <c r="B13" s="11" t="s">
        <v>22</v>
      </c>
      <c r="C13" s="18" t="s">
        <v>19</v>
      </c>
      <c r="D13" s="18" t="s">
        <v>23</v>
      </c>
      <c r="E13" s="10">
        <f t="shared" si="1"/>
        <v>14</v>
      </c>
      <c r="F13" s="11" t="s">
        <v>16</v>
      </c>
    </row>
    <row r="14" ht="15.75" customHeight="1">
      <c r="A14" s="19" t="s">
        <v>24</v>
      </c>
      <c r="B14" s="15" t="s">
        <v>25</v>
      </c>
      <c r="C14" s="19" t="s">
        <v>23</v>
      </c>
      <c r="D14" s="19" t="s">
        <v>26</v>
      </c>
      <c r="E14" s="5">
        <f t="shared" si="1"/>
        <v>7</v>
      </c>
      <c r="F14" s="15" t="s">
        <v>21</v>
      </c>
    </row>
    <row r="15" ht="15.75" customHeight="1">
      <c r="A15" s="18" t="s">
        <v>27</v>
      </c>
      <c r="B15" s="11" t="s">
        <v>28</v>
      </c>
      <c r="C15" s="18" t="s">
        <v>26</v>
      </c>
      <c r="D15" s="18" t="s">
        <v>29</v>
      </c>
      <c r="E15" s="10">
        <f t="shared" si="1"/>
        <v>7</v>
      </c>
      <c r="F15" s="11" t="s">
        <v>30</v>
      </c>
    </row>
    <row r="16" ht="15.75" customHeight="1">
      <c r="A16" s="18" t="s">
        <v>31</v>
      </c>
      <c r="B16" s="11" t="s">
        <v>32</v>
      </c>
      <c r="C16" s="18" t="s">
        <v>23</v>
      </c>
      <c r="D16" s="18" t="s">
        <v>26</v>
      </c>
      <c r="E16" s="10">
        <f t="shared" si="1"/>
        <v>7</v>
      </c>
      <c r="F16" s="11" t="s">
        <v>21</v>
      </c>
    </row>
    <row r="17" ht="15.75" customHeight="1">
      <c r="A17" s="18" t="s">
        <v>33</v>
      </c>
      <c r="B17" s="11" t="s">
        <v>34</v>
      </c>
      <c r="C17" s="18" t="s">
        <v>23</v>
      </c>
      <c r="D17" s="18" t="s">
        <v>29</v>
      </c>
      <c r="E17" s="10">
        <f t="shared" si="1"/>
        <v>14</v>
      </c>
      <c r="F17" s="11" t="s">
        <v>21</v>
      </c>
    </row>
    <row r="18" ht="15.75" customHeight="1">
      <c r="A18" s="18" t="s">
        <v>35</v>
      </c>
      <c r="B18" s="11" t="s">
        <v>36</v>
      </c>
      <c r="C18" s="18" t="s">
        <v>26</v>
      </c>
      <c r="D18" s="18" t="s">
        <v>29</v>
      </c>
      <c r="E18" s="10">
        <f t="shared" si="1"/>
        <v>7</v>
      </c>
      <c r="F18" s="11" t="s">
        <v>37</v>
      </c>
    </row>
    <row r="19" ht="15.75" customHeight="1">
      <c r="A19" s="18" t="s">
        <v>38</v>
      </c>
      <c r="B19" s="11" t="s">
        <v>39</v>
      </c>
      <c r="C19" s="18" t="s">
        <v>26</v>
      </c>
      <c r="D19" s="18" t="s">
        <v>29</v>
      </c>
      <c r="E19" s="10">
        <f t="shared" si="1"/>
        <v>7</v>
      </c>
      <c r="F19" s="11" t="s">
        <v>35</v>
      </c>
    </row>
    <row r="20" ht="15.75" customHeight="1">
      <c r="A20" s="19" t="s">
        <v>40</v>
      </c>
      <c r="B20" s="15" t="s">
        <v>41</v>
      </c>
      <c r="C20" s="19" t="s">
        <v>42</v>
      </c>
      <c r="D20" s="19" t="s">
        <v>43</v>
      </c>
      <c r="E20" s="5">
        <f t="shared" si="1"/>
        <v>14</v>
      </c>
      <c r="F20" s="15" t="s">
        <v>44</v>
      </c>
    </row>
    <row r="21" ht="15.75" customHeight="1">
      <c r="A21" s="18" t="s">
        <v>45</v>
      </c>
      <c r="B21" s="11" t="s">
        <v>46</v>
      </c>
      <c r="C21" s="18" t="s">
        <v>43</v>
      </c>
      <c r="D21" s="18" t="s">
        <v>47</v>
      </c>
      <c r="E21" s="10">
        <f t="shared" si="1"/>
        <v>7</v>
      </c>
      <c r="F21" s="11" t="s">
        <v>40</v>
      </c>
    </row>
    <row r="22" ht="15.75" customHeight="1">
      <c r="A22" s="18" t="s">
        <v>48</v>
      </c>
      <c r="B22" s="11" t="s">
        <v>49</v>
      </c>
      <c r="C22" s="18" t="s">
        <v>43</v>
      </c>
      <c r="D22" s="18" t="s">
        <v>50</v>
      </c>
      <c r="E22" s="10">
        <f t="shared" si="1"/>
        <v>14</v>
      </c>
      <c r="F22" s="11" t="s">
        <v>51</v>
      </c>
    </row>
    <row r="23" ht="15.75" customHeight="1">
      <c r="A23" s="18" t="s">
        <v>52</v>
      </c>
      <c r="B23" s="11" t="s">
        <v>53</v>
      </c>
      <c r="C23" s="18" t="s">
        <v>43</v>
      </c>
      <c r="D23" s="18" t="s">
        <v>50</v>
      </c>
      <c r="E23" s="10">
        <f t="shared" si="1"/>
        <v>14</v>
      </c>
      <c r="F23" s="11" t="s">
        <v>48</v>
      </c>
    </row>
    <row r="24" ht="15.75" customHeight="1">
      <c r="A24" s="19" t="s">
        <v>54</v>
      </c>
      <c r="B24" s="15" t="s">
        <v>55</v>
      </c>
      <c r="C24" s="19" t="s">
        <v>29</v>
      </c>
      <c r="D24" s="19" t="s">
        <v>56</v>
      </c>
      <c r="E24" s="5">
        <f t="shared" si="1"/>
        <v>115</v>
      </c>
      <c r="F24" s="15" t="s">
        <v>31</v>
      </c>
    </row>
    <row r="25" ht="15.75" customHeight="1">
      <c r="A25" s="18" t="s">
        <v>57</v>
      </c>
      <c r="B25" s="11" t="s">
        <v>58</v>
      </c>
      <c r="C25" s="18" t="s">
        <v>29</v>
      </c>
      <c r="D25" s="18" t="s">
        <v>59</v>
      </c>
      <c r="E25" s="10">
        <f t="shared" si="1"/>
        <v>7</v>
      </c>
      <c r="F25" s="11" t="s">
        <v>31</v>
      </c>
    </row>
    <row r="26" ht="15.75" customHeight="1">
      <c r="A26" s="18" t="s">
        <v>60</v>
      </c>
      <c r="B26" s="11" t="s">
        <v>61</v>
      </c>
      <c r="C26" s="18" t="s">
        <v>59</v>
      </c>
      <c r="D26" s="18" t="s">
        <v>62</v>
      </c>
      <c r="E26" s="10">
        <f t="shared" si="1"/>
        <v>7</v>
      </c>
      <c r="F26" s="11" t="s">
        <v>57</v>
      </c>
    </row>
    <row r="27" ht="15.75" customHeight="1">
      <c r="A27" s="18" t="s">
        <v>63</v>
      </c>
      <c r="B27" s="11" t="s">
        <v>64</v>
      </c>
      <c r="C27" s="18" t="s">
        <v>62</v>
      </c>
      <c r="D27" s="18" t="s">
        <v>42</v>
      </c>
      <c r="E27" s="10">
        <f t="shared" si="1"/>
        <v>7</v>
      </c>
      <c r="F27" s="11" t="s">
        <v>60</v>
      </c>
    </row>
    <row r="28" ht="15.75" customHeight="1">
      <c r="A28" s="18" t="s">
        <v>65</v>
      </c>
      <c r="B28" s="11" t="s">
        <v>66</v>
      </c>
      <c r="C28" s="18" t="s">
        <v>42</v>
      </c>
      <c r="D28" s="18" t="s">
        <v>43</v>
      </c>
      <c r="E28" s="10">
        <f t="shared" si="1"/>
        <v>14</v>
      </c>
      <c r="F28" s="11" t="s">
        <v>63</v>
      </c>
    </row>
    <row r="29" ht="15.75" customHeight="1">
      <c r="A29" s="18" t="s">
        <v>67</v>
      </c>
      <c r="B29" s="11" t="s">
        <v>68</v>
      </c>
      <c r="C29" s="18" t="s">
        <v>43</v>
      </c>
      <c r="D29" s="18" t="s">
        <v>50</v>
      </c>
      <c r="E29" s="10">
        <f t="shared" si="1"/>
        <v>14</v>
      </c>
      <c r="F29" s="11" t="s">
        <v>65</v>
      </c>
    </row>
    <row r="30" ht="15.75" customHeight="1">
      <c r="A30" s="18" t="s">
        <v>69</v>
      </c>
      <c r="B30" s="11" t="s">
        <v>70</v>
      </c>
      <c r="C30" s="18" t="s">
        <v>50</v>
      </c>
      <c r="D30" s="18" t="s">
        <v>71</v>
      </c>
      <c r="E30" s="10">
        <f t="shared" si="1"/>
        <v>14</v>
      </c>
      <c r="F30" s="11" t="s">
        <v>67</v>
      </c>
    </row>
    <row r="31" ht="15.75" customHeight="1">
      <c r="A31" s="18" t="s">
        <v>72</v>
      </c>
      <c r="B31" s="11" t="s">
        <v>73</v>
      </c>
      <c r="C31" s="18" t="s">
        <v>71</v>
      </c>
      <c r="D31" s="18" t="s">
        <v>74</v>
      </c>
      <c r="E31" s="10">
        <f t="shared" si="1"/>
        <v>14</v>
      </c>
      <c r="F31" s="11" t="s">
        <v>69</v>
      </c>
    </row>
    <row r="32" ht="15.75" customHeight="1">
      <c r="A32" s="18" t="s">
        <v>75</v>
      </c>
      <c r="B32" s="11" t="s">
        <v>76</v>
      </c>
      <c r="C32" s="18" t="s">
        <v>74</v>
      </c>
      <c r="D32" s="18" t="s">
        <v>77</v>
      </c>
      <c r="E32" s="10">
        <f t="shared" si="1"/>
        <v>14</v>
      </c>
      <c r="F32" s="11" t="s">
        <v>72</v>
      </c>
    </row>
    <row r="33" ht="15.75" customHeight="1">
      <c r="A33" s="18" t="s">
        <v>78</v>
      </c>
      <c r="B33" s="11" t="s">
        <v>79</v>
      </c>
      <c r="C33" s="18" t="s">
        <v>77</v>
      </c>
      <c r="D33" s="18" t="s">
        <v>80</v>
      </c>
      <c r="E33" s="10">
        <f t="shared" si="1"/>
        <v>14</v>
      </c>
      <c r="F33" s="11" t="s">
        <v>75</v>
      </c>
    </row>
    <row r="34" ht="15.75" customHeight="1">
      <c r="A34" s="18" t="s">
        <v>81</v>
      </c>
      <c r="B34" s="11" t="s">
        <v>82</v>
      </c>
      <c r="C34" s="18" t="s">
        <v>80</v>
      </c>
      <c r="D34" s="18" t="s">
        <v>56</v>
      </c>
      <c r="E34" s="10">
        <f t="shared" si="1"/>
        <v>10</v>
      </c>
      <c r="F34" s="11" t="s">
        <v>83</v>
      </c>
    </row>
    <row r="35" ht="15.75" customHeight="1">
      <c r="A35" s="19" t="s">
        <v>84</v>
      </c>
      <c r="B35" s="15" t="s">
        <v>85</v>
      </c>
      <c r="C35" s="19" t="s">
        <v>29</v>
      </c>
      <c r="D35" s="19" t="s">
        <v>56</v>
      </c>
      <c r="E35" s="5">
        <f t="shared" si="1"/>
        <v>115</v>
      </c>
      <c r="F35" s="15" t="s">
        <v>31</v>
      </c>
    </row>
    <row r="36" ht="15.75" customHeight="1">
      <c r="A36" s="18" t="s">
        <v>86</v>
      </c>
      <c r="B36" s="11" t="s">
        <v>87</v>
      </c>
      <c r="C36" s="18" t="s">
        <v>29</v>
      </c>
      <c r="D36" s="18" t="s">
        <v>59</v>
      </c>
      <c r="E36" s="10">
        <f t="shared" si="1"/>
        <v>7</v>
      </c>
      <c r="F36" s="11" t="s">
        <v>31</v>
      </c>
    </row>
    <row r="37" ht="15.75" customHeight="1">
      <c r="A37" s="18" t="s">
        <v>88</v>
      </c>
      <c r="B37" s="11" t="s">
        <v>89</v>
      </c>
      <c r="C37" s="18" t="s">
        <v>59</v>
      </c>
      <c r="D37" s="18" t="s">
        <v>62</v>
      </c>
      <c r="E37" s="10">
        <f t="shared" si="1"/>
        <v>7</v>
      </c>
      <c r="F37" s="11" t="s">
        <v>86</v>
      </c>
    </row>
    <row r="38" ht="15.75" customHeight="1">
      <c r="A38" s="18" t="s">
        <v>90</v>
      </c>
      <c r="B38" s="11" t="s">
        <v>91</v>
      </c>
      <c r="C38" s="18" t="s">
        <v>62</v>
      </c>
      <c r="D38" s="18" t="s">
        <v>92</v>
      </c>
      <c r="E38" s="10">
        <f t="shared" si="1"/>
        <v>14</v>
      </c>
      <c r="F38" s="11" t="s">
        <v>88</v>
      </c>
    </row>
    <row r="39" ht="15.75" customHeight="1">
      <c r="A39" s="18" t="s">
        <v>93</v>
      </c>
      <c r="B39" s="11" t="s">
        <v>94</v>
      </c>
      <c r="C39" s="18" t="s">
        <v>92</v>
      </c>
      <c r="D39" s="18" t="s">
        <v>47</v>
      </c>
      <c r="E39" s="10">
        <f t="shared" si="1"/>
        <v>14</v>
      </c>
      <c r="F39" s="11" t="s">
        <v>90</v>
      </c>
    </row>
    <row r="40" ht="15.75" customHeight="1">
      <c r="A40" s="18" t="s">
        <v>95</v>
      </c>
      <c r="B40" s="11" t="s">
        <v>96</v>
      </c>
      <c r="C40" s="18" t="s">
        <v>47</v>
      </c>
      <c r="D40" s="18" t="s">
        <v>50</v>
      </c>
      <c r="E40" s="10">
        <f t="shared" si="1"/>
        <v>7</v>
      </c>
      <c r="F40" s="11" t="s">
        <v>93</v>
      </c>
    </row>
    <row r="41" ht="15.75" customHeight="1">
      <c r="A41" s="18" t="s">
        <v>97</v>
      </c>
      <c r="B41" s="11" t="s">
        <v>98</v>
      </c>
      <c r="C41" s="18" t="s">
        <v>50</v>
      </c>
      <c r="D41" s="18" t="s">
        <v>71</v>
      </c>
      <c r="E41" s="10">
        <f t="shared" si="1"/>
        <v>14</v>
      </c>
      <c r="F41" s="11" t="s">
        <v>95</v>
      </c>
    </row>
    <row r="42" ht="15.75" customHeight="1">
      <c r="A42" s="18" t="s">
        <v>99</v>
      </c>
      <c r="B42" s="11" t="s">
        <v>100</v>
      </c>
      <c r="C42" s="18" t="s">
        <v>71</v>
      </c>
      <c r="D42" s="18" t="s">
        <v>74</v>
      </c>
      <c r="E42" s="10">
        <f t="shared" si="1"/>
        <v>14</v>
      </c>
      <c r="F42" s="11" t="s">
        <v>97</v>
      </c>
    </row>
    <row r="43" ht="15.75" customHeight="1">
      <c r="A43" s="18" t="s">
        <v>101</v>
      </c>
      <c r="B43" s="11" t="s">
        <v>102</v>
      </c>
      <c r="C43" s="18" t="s">
        <v>74</v>
      </c>
      <c r="D43" s="18" t="s">
        <v>103</v>
      </c>
      <c r="E43" s="10">
        <f t="shared" si="1"/>
        <v>7</v>
      </c>
      <c r="F43" s="11" t="s">
        <v>99</v>
      </c>
    </row>
    <row r="44" ht="15.75" customHeight="1">
      <c r="A44" s="18" t="s">
        <v>104</v>
      </c>
      <c r="B44" s="11" t="s">
        <v>105</v>
      </c>
      <c r="C44" s="18" t="s">
        <v>103</v>
      </c>
      <c r="D44" s="18" t="s">
        <v>106</v>
      </c>
      <c r="E44" s="10">
        <f t="shared" si="1"/>
        <v>14</v>
      </c>
      <c r="F44" s="11" t="s">
        <v>95</v>
      </c>
    </row>
    <row r="45" ht="15.75" customHeight="1">
      <c r="A45" s="18" t="s">
        <v>107</v>
      </c>
      <c r="B45" s="11" t="s">
        <v>108</v>
      </c>
      <c r="C45" s="18" t="s">
        <v>106</v>
      </c>
      <c r="D45" s="18" t="s">
        <v>109</v>
      </c>
      <c r="E45" s="10">
        <f t="shared" si="1"/>
        <v>14</v>
      </c>
      <c r="F45" s="11" t="s">
        <v>110</v>
      </c>
    </row>
    <row r="46" ht="15.75" customHeight="1">
      <c r="A46" s="18" t="s">
        <v>111</v>
      </c>
      <c r="B46" s="11" t="s">
        <v>112</v>
      </c>
      <c r="C46" s="18" t="s">
        <v>109</v>
      </c>
      <c r="D46" s="18" t="s">
        <v>56</v>
      </c>
      <c r="E46" s="10">
        <f t="shared" si="1"/>
        <v>3</v>
      </c>
      <c r="F46" s="11" t="s">
        <v>107</v>
      </c>
    </row>
    <row r="47" ht="15.75" customHeight="1">
      <c r="A47" s="19" t="s">
        <v>113</v>
      </c>
      <c r="B47" s="15" t="s">
        <v>114</v>
      </c>
      <c r="C47" s="19" t="s">
        <v>29</v>
      </c>
      <c r="D47" s="19" t="s">
        <v>56</v>
      </c>
      <c r="E47" s="5">
        <f t="shared" si="1"/>
        <v>115</v>
      </c>
      <c r="F47" s="15" t="s">
        <v>31</v>
      </c>
    </row>
    <row r="48" ht="15.75" customHeight="1">
      <c r="A48" s="18" t="s">
        <v>115</v>
      </c>
      <c r="B48" s="11" t="s">
        <v>116</v>
      </c>
      <c r="C48" s="18" t="s">
        <v>29</v>
      </c>
      <c r="D48" s="18" t="s">
        <v>59</v>
      </c>
      <c r="E48" s="10">
        <f t="shared" si="1"/>
        <v>7</v>
      </c>
      <c r="F48" s="11" t="s">
        <v>31</v>
      </c>
    </row>
    <row r="49" ht="15.75" customHeight="1">
      <c r="A49" s="18" t="s">
        <v>117</v>
      </c>
      <c r="B49" s="11" t="s">
        <v>118</v>
      </c>
      <c r="C49" s="18" t="s">
        <v>59</v>
      </c>
      <c r="D49" s="18" t="s">
        <v>62</v>
      </c>
      <c r="E49" s="10">
        <f t="shared" si="1"/>
        <v>7</v>
      </c>
      <c r="F49" s="11" t="s">
        <v>115</v>
      </c>
    </row>
    <row r="50" ht="15.75" customHeight="1">
      <c r="A50" s="18" t="s">
        <v>119</v>
      </c>
      <c r="B50" s="11" t="s">
        <v>120</v>
      </c>
      <c r="C50" s="18" t="s">
        <v>62</v>
      </c>
      <c r="D50" s="18" t="s">
        <v>42</v>
      </c>
      <c r="E50" s="10">
        <f t="shared" si="1"/>
        <v>7</v>
      </c>
      <c r="F50" s="11" t="s">
        <v>117</v>
      </c>
    </row>
    <row r="51" ht="15.75" customHeight="1">
      <c r="A51" s="18" t="s">
        <v>121</v>
      </c>
      <c r="B51" s="11" t="s">
        <v>122</v>
      </c>
      <c r="C51" s="18" t="s">
        <v>42</v>
      </c>
      <c r="D51" s="18" t="s">
        <v>43</v>
      </c>
      <c r="E51" s="10">
        <f t="shared" si="1"/>
        <v>14</v>
      </c>
      <c r="F51" s="11" t="s">
        <v>119</v>
      </c>
    </row>
    <row r="52" ht="15.75" customHeight="1">
      <c r="A52" s="18" t="s">
        <v>123</v>
      </c>
      <c r="B52" s="11" t="s">
        <v>124</v>
      </c>
      <c r="C52" s="18" t="s">
        <v>43</v>
      </c>
      <c r="D52" s="18" t="s">
        <v>50</v>
      </c>
      <c r="E52" s="10">
        <f t="shared" si="1"/>
        <v>14</v>
      </c>
      <c r="F52" s="11" t="s">
        <v>121</v>
      </c>
    </row>
    <row r="53" ht="15.75" customHeight="1">
      <c r="A53" s="18" t="s">
        <v>125</v>
      </c>
      <c r="B53" s="11" t="s">
        <v>126</v>
      </c>
      <c r="C53" s="18" t="s">
        <v>50</v>
      </c>
      <c r="D53" s="18" t="s">
        <v>127</v>
      </c>
      <c r="E53" s="10">
        <f t="shared" si="1"/>
        <v>7</v>
      </c>
      <c r="F53" s="11" t="s">
        <v>123</v>
      </c>
    </row>
    <row r="54" ht="15.75" customHeight="1">
      <c r="A54" s="18" t="s">
        <v>128</v>
      </c>
      <c r="B54" s="11" t="s">
        <v>129</v>
      </c>
      <c r="C54" s="18" t="s">
        <v>127</v>
      </c>
      <c r="D54" s="18" t="s">
        <v>130</v>
      </c>
      <c r="E54" s="10">
        <f t="shared" si="1"/>
        <v>14</v>
      </c>
      <c r="F54" s="11" t="s">
        <v>125</v>
      </c>
    </row>
    <row r="55" ht="15.75" customHeight="1">
      <c r="A55" s="18" t="s">
        <v>131</v>
      </c>
      <c r="B55" s="11" t="s">
        <v>132</v>
      </c>
      <c r="C55" s="18" t="s">
        <v>130</v>
      </c>
      <c r="D55" s="18" t="s">
        <v>103</v>
      </c>
      <c r="E55" s="10">
        <f t="shared" si="1"/>
        <v>14</v>
      </c>
      <c r="F55" s="11" t="s">
        <v>128</v>
      </c>
    </row>
    <row r="56" ht="15.75" customHeight="1">
      <c r="A56" s="18" t="s">
        <v>133</v>
      </c>
      <c r="B56" s="11" t="s">
        <v>134</v>
      </c>
      <c r="C56" s="18" t="s">
        <v>103</v>
      </c>
      <c r="D56" s="18" t="s">
        <v>106</v>
      </c>
      <c r="E56" s="10">
        <f t="shared" si="1"/>
        <v>14</v>
      </c>
      <c r="F56" s="11" t="s">
        <v>131</v>
      </c>
    </row>
    <row r="57" ht="15.75" customHeight="1">
      <c r="A57" s="18" t="s">
        <v>135</v>
      </c>
      <c r="B57" s="11" t="s">
        <v>136</v>
      </c>
      <c r="C57" s="18" t="s">
        <v>106</v>
      </c>
      <c r="D57" s="18" t="s">
        <v>109</v>
      </c>
      <c r="E57" s="10">
        <f t="shared" si="1"/>
        <v>14</v>
      </c>
      <c r="F57" s="11" t="s">
        <v>133</v>
      </c>
    </row>
    <row r="58" ht="15.75" customHeight="1">
      <c r="A58" s="18" t="s">
        <v>137</v>
      </c>
      <c r="B58" s="11" t="s">
        <v>138</v>
      </c>
      <c r="C58" s="18" t="s">
        <v>109</v>
      </c>
      <c r="D58" s="18" t="s">
        <v>56</v>
      </c>
      <c r="E58" s="10">
        <f t="shared" si="1"/>
        <v>3</v>
      </c>
      <c r="F58" s="11" t="s">
        <v>135</v>
      </c>
    </row>
    <row r="59" ht="15.75" customHeight="1">
      <c r="A59" s="19" t="s">
        <v>139</v>
      </c>
      <c r="B59" s="15" t="s">
        <v>140</v>
      </c>
      <c r="C59" s="19" t="s">
        <v>29</v>
      </c>
      <c r="D59" s="19" t="s">
        <v>56</v>
      </c>
      <c r="E59" s="5">
        <f t="shared" si="1"/>
        <v>115</v>
      </c>
      <c r="F59" s="15" t="s">
        <v>141</v>
      </c>
    </row>
    <row r="60" ht="15.75" customHeight="1">
      <c r="A60" s="18" t="s">
        <v>142</v>
      </c>
      <c r="B60" s="11" t="s">
        <v>143</v>
      </c>
      <c r="C60" s="18" t="s">
        <v>29</v>
      </c>
      <c r="D60" s="18" t="s">
        <v>59</v>
      </c>
      <c r="E60" s="10">
        <f t="shared" si="1"/>
        <v>7</v>
      </c>
      <c r="F60" s="11" t="s">
        <v>31</v>
      </c>
    </row>
    <row r="61" ht="15.75" customHeight="1">
      <c r="A61" s="18" t="s">
        <v>144</v>
      </c>
      <c r="B61" s="11" t="s">
        <v>145</v>
      </c>
      <c r="C61" s="18" t="s">
        <v>59</v>
      </c>
      <c r="D61" s="18" t="s">
        <v>42</v>
      </c>
      <c r="E61" s="10">
        <f t="shared" si="1"/>
        <v>14</v>
      </c>
      <c r="F61" s="11" t="s">
        <v>142</v>
      </c>
    </row>
    <row r="62" ht="15.75" customHeight="1">
      <c r="A62" s="18" t="s">
        <v>146</v>
      </c>
      <c r="B62" s="11" t="s">
        <v>147</v>
      </c>
      <c r="C62" s="18" t="s">
        <v>42</v>
      </c>
      <c r="D62" s="18" t="s">
        <v>43</v>
      </c>
      <c r="E62" s="10">
        <f t="shared" si="1"/>
        <v>14</v>
      </c>
      <c r="F62" s="11" t="s">
        <v>148</v>
      </c>
    </row>
    <row r="63" ht="15.75" customHeight="1">
      <c r="A63" s="18" t="s">
        <v>149</v>
      </c>
      <c r="B63" s="11" t="s">
        <v>150</v>
      </c>
      <c r="C63" s="18" t="s">
        <v>43</v>
      </c>
      <c r="D63" s="18" t="s">
        <v>50</v>
      </c>
      <c r="E63" s="10">
        <f t="shared" si="1"/>
        <v>14</v>
      </c>
      <c r="F63" s="11" t="s">
        <v>146</v>
      </c>
    </row>
    <row r="64" ht="15.75" customHeight="1">
      <c r="A64" s="18" t="s">
        <v>151</v>
      </c>
      <c r="B64" s="11" t="s">
        <v>152</v>
      </c>
      <c r="C64" s="18" t="s">
        <v>50</v>
      </c>
      <c r="D64" s="18" t="s">
        <v>127</v>
      </c>
      <c r="E64" s="10">
        <f t="shared" si="1"/>
        <v>7</v>
      </c>
      <c r="F64" s="11" t="s">
        <v>149</v>
      </c>
    </row>
    <row r="65" ht="15.75" customHeight="1">
      <c r="A65" s="18" t="s">
        <v>153</v>
      </c>
      <c r="B65" s="11" t="s">
        <v>154</v>
      </c>
      <c r="C65" s="18" t="s">
        <v>127</v>
      </c>
      <c r="D65" s="18" t="s">
        <v>130</v>
      </c>
      <c r="E65" s="10">
        <f t="shared" si="1"/>
        <v>14</v>
      </c>
      <c r="F65" s="11" t="s">
        <v>151</v>
      </c>
    </row>
    <row r="66" ht="15.75" customHeight="1">
      <c r="A66" s="18" t="s">
        <v>155</v>
      </c>
      <c r="B66" s="11" t="s">
        <v>156</v>
      </c>
      <c r="C66" s="18" t="s">
        <v>130</v>
      </c>
      <c r="D66" s="18" t="s">
        <v>103</v>
      </c>
      <c r="E66" s="10">
        <f t="shared" si="1"/>
        <v>14</v>
      </c>
      <c r="F66" s="11" t="s">
        <v>153</v>
      </c>
    </row>
    <row r="67" ht="15.75" customHeight="1">
      <c r="A67" s="18" t="s">
        <v>157</v>
      </c>
      <c r="B67" s="11" t="s">
        <v>158</v>
      </c>
      <c r="C67" s="18" t="s">
        <v>103</v>
      </c>
      <c r="D67" s="18" t="s">
        <v>77</v>
      </c>
      <c r="E67" s="10">
        <f t="shared" si="1"/>
        <v>7</v>
      </c>
      <c r="F67" s="11" t="s">
        <v>155</v>
      </c>
    </row>
    <row r="68" ht="15.75" customHeight="1">
      <c r="A68" s="18" t="s">
        <v>159</v>
      </c>
      <c r="B68" s="11" t="s">
        <v>160</v>
      </c>
      <c r="C68" s="18" t="s">
        <v>77</v>
      </c>
      <c r="D68" s="18" t="s">
        <v>80</v>
      </c>
      <c r="E68" s="10">
        <f t="shared" si="1"/>
        <v>14</v>
      </c>
      <c r="F68" s="11" t="s">
        <v>157</v>
      </c>
    </row>
    <row r="69" ht="15.75" customHeight="1">
      <c r="A69" s="18" t="s">
        <v>161</v>
      </c>
      <c r="B69" s="11" t="s">
        <v>162</v>
      </c>
      <c r="C69" s="18" t="s">
        <v>80</v>
      </c>
      <c r="D69" s="18" t="s">
        <v>56</v>
      </c>
      <c r="E69" s="10">
        <f t="shared" si="1"/>
        <v>10</v>
      </c>
      <c r="F69" s="11" t="s">
        <v>159</v>
      </c>
    </row>
    <row r="70" ht="15.75" customHeight="1">
      <c r="A70" s="18" t="s">
        <v>163</v>
      </c>
      <c r="B70" s="11" t="s">
        <v>164</v>
      </c>
      <c r="C70" s="18" t="s">
        <v>165</v>
      </c>
      <c r="D70" s="18" t="s">
        <v>166</v>
      </c>
      <c r="E70" s="10">
        <f t="shared" si="1"/>
        <v>14</v>
      </c>
      <c r="F70" s="11" t="s">
        <v>167</v>
      </c>
    </row>
    <row r="71" ht="15.75" customHeight="1">
      <c r="A71" s="18" t="s">
        <v>168</v>
      </c>
      <c r="B71" s="11" t="s">
        <v>169</v>
      </c>
      <c r="C71" s="18" t="s">
        <v>166</v>
      </c>
      <c r="D71" s="18" t="s">
        <v>170</v>
      </c>
      <c r="E71" s="10">
        <f t="shared" si="1"/>
        <v>4</v>
      </c>
      <c r="F71" s="11" t="s">
        <v>163</v>
      </c>
    </row>
    <row r="72" ht="15.75" customHeight="1">
      <c r="A72" s="18" t="s">
        <v>171</v>
      </c>
      <c r="B72" s="11" t="s">
        <v>172</v>
      </c>
      <c r="C72" s="18" t="s">
        <v>173</v>
      </c>
      <c r="D72" s="18" t="s">
        <v>174</v>
      </c>
      <c r="E72" s="10">
        <f t="shared" si="1"/>
        <v>14</v>
      </c>
      <c r="F72" s="11" t="s">
        <v>175</v>
      </c>
    </row>
    <row r="73" ht="15.75" customHeight="1">
      <c r="A73" s="20" t="s">
        <v>176</v>
      </c>
      <c r="B73" s="21" t="s">
        <v>177</v>
      </c>
      <c r="C73" s="20" t="s">
        <v>166</v>
      </c>
      <c r="D73" s="20" t="s">
        <v>178</v>
      </c>
      <c r="E73" s="5">
        <f t="shared" si="1"/>
        <v>11</v>
      </c>
      <c r="F73" s="21" t="s">
        <v>168</v>
      </c>
    </row>
    <row r="74" ht="15.75" customHeight="1">
      <c r="A74" s="22" t="s">
        <v>179</v>
      </c>
      <c r="B74" s="23" t="s">
        <v>180</v>
      </c>
      <c r="C74" s="22" t="s">
        <v>181</v>
      </c>
      <c r="D74" s="22" t="s">
        <v>181</v>
      </c>
      <c r="E74" s="24">
        <f t="shared" si="1"/>
        <v>0</v>
      </c>
      <c r="F74" s="23" t="s">
        <v>182</v>
      </c>
    </row>
    <row r="75" ht="15.75" customHeight="1">
      <c r="A75" s="18" t="s">
        <v>183</v>
      </c>
      <c r="B75" s="11" t="s">
        <v>184</v>
      </c>
      <c r="C75" s="18" t="s">
        <v>181</v>
      </c>
      <c r="D75" s="18" t="s">
        <v>185</v>
      </c>
      <c r="E75" s="10">
        <f t="shared" si="1"/>
        <v>10</v>
      </c>
      <c r="F75" s="11" t="s">
        <v>186</v>
      </c>
    </row>
    <row r="76" ht="15.75" customHeight="1">
      <c r="A76" s="18" t="s">
        <v>187</v>
      </c>
      <c r="B76" s="11" t="s">
        <v>188</v>
      </c>
      <c r="C76" s="18" t="s">
        <v>189</v>
      </c>
      <c r="D76" s="18" t="s">
        <v>190</v>
      </c>
      <c r="E76" s="10">
        <f t="shared" si="1"/>
        <v>7</v>
      </c>
      <c r="F76" s="11" t="s">
        <v>191</v>
      </c>
    </row>
    <row r="77" ht="15.75" customHeight="1">
      <c r="A77" s="22" t="s">
        <v>192</v>
      </c>
      <c r="B77" s="23" t="s">
        <v>193</v>
      </c>
      <c r="C77" s="22" t="s">
        <v>194</v>
      </c>
      <c r="D77" s="22" t="s">
        <v>194</v>
      </c>
      <c r="E77" s="24">
        <f t="shared" si="1"/>
        <v>0</v>
      </c>
      <c r="F77" s="23" t="s">
        <v>195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60.0"/>
    <col customWidth="1" min="3" max="3" width="15.0"/>
    <col customWidth="1" min="4" max="26" width="8.71"/>
  </cols>
  <sheetData>
    <row r="1" ht="24.0" customHeight="1">
      <c r="A1" s="1" t="s">
        <v>196</v>
      </c>
      <c r="B1" s="1" t="s">
        <v>197</v>
      </c>
      <c r="C1" s="1" t="s">
        <v>198</v>
      </c>
    </row>
    <row r="2">
      <c r="A2" s="18" t="s">
        <v>199</v>
      </c>
      <c r="B2" s="11" t="s">
        <v>200</v>
      </c>
      <c r="C2" s="18" t="s">
        <v>201</v>
      </c>
    </row>
    <row r="3">
      <c r="A3" s="25" t="s">
        <v>199</v>
      </c>
      <c r="B3" s="26" t="s">
        <v>202</v>
      </c>
      <c r="C3" s="25" t="s">
        <v>203</v>
      </c>
    </row>
    <row r="4">
      <c r="A4" s="18" t="s">
        <v>204</v>
      </c>
      <c r="B4" s="11" t="s">
        <v>205</v>
      </c>
      <c r="C4" s="18" t="s">
        <v>206</v>
      </c>
    </row>
    <row r="5">
      <c r="A5" s="18" t="s">
        <v>18</v>
      </c>
      <c r="B5" s="11" t="s">
        <v>207</v>
      </c>
      <c r="C5" s="18" t="s">
        <v>208</v>
      </c>
    </row>
    <row r="6">
      <c r="A6" s="27" t="s">
        <v>209</v>
      </c>
      <c r="B6" s="28" t="s">
        <v>210</v>
      </c>
      <c r="C6" s="27" t="s">
        <v>211</v>
      </c>
    </row>
    <row r="7">
      <c r="A7" s="25" t="s">
        <v>212</v>
      </c>
      <c r="B7" s="26" t="s">
        <v>213</v>
      </c>
      <c r="C7" s="25" t="s">
        <v>203</v>
      </c>
    </row>
    <row r="8">
      <c r="A8" s="27" t="s">
        <v>92</v>
      </c>
      <c r="B8" s="28" t="s">
        <v>214</v>
      </c>
      <c r="C8" s="27" t="s">
        <v>211</v>
      </c>
    </row>
    <row r="9">
      <c r="A9" s="18" t="s">
        <v>47</v>
      </c>
      <c r="B9" s="11" t="s">
        <v>215</v>
      </c>
      <c r="C9" s="18" t="s">
        <v>206</v>
      </c>
    </row>
    <row r="10">
      <c r="A10" s="18" t="s">
        <v>50</v>
      </c>
      <c r="B10" s="11" t="s">
        <v>216</v>
      </c>
      <c r="C10" s="18" t="s">
        <v>206</v>
      </c>
    </row>
    <row r="11">
      <c r="A11" s="18" t="s">
        <v>127</v>
      </c>
      <c r="B11" s="11" t="s">
        <v>217</v>
      </c>
      <c r="C11" s="18" t="s">
        <v>206</v>
      </c>
    </row>
    <row r="12">
      <c r="A12" s="25" t="s">
        <v>71</v>
      </c>
      <c r="B12" s="26" t="s">
        <v>218</v>
      </c>
      <c r="C12" s="25" t="s">
        <v>203</v>
      </c>
    </row>
    <row r="13">
      <c r="A13" s="27" t="s">
        <v>130</v>
      </c>
      <c r="B13" s="28" t="s">
        <v>219</v>
      </c>
      <c r="C13" s="27" t="s">
        <v>211</v>
      </c>
    </row>
    <row r="14">
      <c r="A14" s="25" t="s">
        <v>106</v>
      </c>
      <c r="B14" s="26" t="s">
        <v>220</v>
      </c>
      <c r="C14" s="25" t="s">
        <v>203</v>
      </c>
    </row>
    <row r="15">
      <c r="A15" s="27" t="s">
        <v>80</v>
      </c>
      <c r="B15" s="28" t="s">
        <v>221</v>
      </c>
      <c r="C15" s="27" t="s">
        <v>211</v>
      </c>
    </row>
    <row r="16">
      <c r="A16" s="22" t="s">
        <v>181</v>
      </c>
      <c r="B16" s="23" t="s">
        <v>222</v>
      </c>
      <c r="C16" s="22" t="s">
        <v>223</v>
      </c>
    </row>
    <row r="17">
      <c r="A17" s="22" t="s">
        <v>194</v>
      </c>
      <c r="B17" s="23" t="s">
        <v>224</v>
      </c>
      <c r="C17" s="22" t="s">
        <v>223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2026-05-20T22:55:39Z</dcterms:created>
  <dc:creator>openpyxl</dc:creator>
</cp:coreProperties>
</file>